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cond sheet" sheetId="2" state="visible" r:id="rId2"/>
  </sheets>
  <definedNames>
    <definedName name="_xlnm._FilterDatabase" localSheetId="0" hidden="1">'Data'!$A$1:$F$5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0.0%"/>
  </numFmts>
  <fonts count="2">
    <font>
      <name val="Calibri"/>
      <family val="2"/>
      <color theme="1"/>
      <sz val="11"/>
      <scheme val="minor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 ht="30" customHeight="1">
      <c r="A1" s="1" t="inlineStr">
        <is>
          <t>Product</t>
        </is>
      </c>
      <c r="B1" s="1" t="inlineStr">
        <is>
          <t>Units</t>
        </is>
      </c>
      <c r="C1" s="1" t="inlineStr">
        <is>
          <t>Price</t>
        </is>
      </c>
      <c r="D1" s="1" t="inlineStr">
        <is>
          <t>Total</t>
        </is>
      </c>
      <c r="E1" s="1" t="inlineStr">
        <is>
          <t>Date</t>
        </is>
      </c>
      <c r="F1" s="1" t="inlineStr">
        <is>
          <t>In stock</t>
        </is>
      </c>
    </row>
    <row r="2">
      <c r="A2" t="inlineStr">
        <is>
          <t>Apples</t>
        </is>
      </c>
      <c r="B2" t="n">
        <v>10</v>
      </c>
      <c r="C2" s="2" t="n">
        <v>0.5</v>
      </c>
      <c r="D2" s="2">
        <f>B2*C2</f>
        <v/>
      </c>
      <c r="E2" s="3" t="n">
        <v>45353</v>
      </c>
      <c r="F2" t="b">
        <v>1</v>
      </c>
    </row>
    <row r="3">
      <c r="A3" t="inlineStr">
        <is>
          <t>Pears</t>
        </is>
      </c>
      <c r="B3" t="n">
        <v>4</v>
      </c>
      <c r="C3" s="2" t="n">
        <v>0.75</v>
      </c>
      <c r="D3" s="2">
        <f>B3*C3</f>
        <v/>
      </c>
      <c r="E3" s="3" t="n">
        <v>45354</v>
      </c>
      <c r="F3" t="b">
        <v>0</v>
      </c>
    </row>
    <row r="4">
      <c r="A4" t="inlineStr">
        <is>
          <t>Plums</t>
        </is>
      </c>
      <c r="B4" t="n">
        <v>25</v>
      </c>
      <c r="C4" s="2" t="n">
        <v>0.2</v>
      </c>
      <c r="D4" s="2">
        <f>B4*C4</f>
        <v/>
      </c>
      <c r="E4" s="3" t="n">
        <v>45355</v>
      </c>
      <c r="F4" t="b">
        <v>1</v>
      </c>
    </row>
    <row r="5">
      <c r="A5" t="inlineStr">
        <is>
          <t>Kiwis</t>
        </is>
      </c>
      <c r="B5" t="n">
        <v>7</v>
      </c>
      <c r="C5" s="2" t="n">
        <v>1.1</v>
      </c>
      <c r="D5" s="2">
        <f>B5*C5</f>
        <v/>
      </c>
      <c r="E5" s="3" t="n">
        <v>45356</v>
      </c>
      <c r="F5" t="b">
        <v>1</v>
      </c>
    </row>
    <row r="7">
      <c r="A7" t="inlineStr">
        <is>
          <t>Sum</t>
        </is>
      </c>
      <c r="B7">
        <f>SUM(B2:B5)</f>
        <v/>
      </c>
    </row>
    <row r="8">
      <c r="B8">
        <f>AVERAGE(B2:B5)</f>
        <v/>
      </c>
    </row>
    <row r="9">
      <c r="B9">
        <f>MIN(B2:B5)</f>
        <v/>
      </c>
    </row>
    <row r="10">
      <c r="B10">
        <f>MAX(B2:B5)</f>
        <v/>
      </c>
    </row>
    <row r="11">
      <c r="B11">
        <f>COUNT(B2:B5)</f>
        <v/>
      </c>
    </row>
    <row r="12">
      <c r="B12">
        <f>IF(B7&gt;40,"many","few")</f>
        <v/>
      </c>
    </row>
    <row r="13">
      <c r="B13">
        <f>ROUND(C3*3.333,2)</f>
        <v/>
      </c>
    </row>
    <row r="14">
      <c r="B14">
        <f>VLOOKUP("Plums",A2:C5,3,FALSE)</f>
        <v/>
      </c>
    </row>
    <row r="15">
      <c r="B15">
        <f>CONCAT(A2," &amp; ",A3)</f>
        <v/>
      </c>
    </row>
    <row r="16">
      <c r="C16" s="4" t="n">
        <v>0.256</v>
      </c>
    </row>
  </sheetData>
  <autoFilter ref="A1:F5"/>
  <mergeCells count="1">
    <mergeCell ref="D7:E7"/>
  </mergeCells>
  <conditionalFormatting sqref="B2:B5">
    <cfRule type="cellIs" priority="1" operator="greaterThan" dxfId="0">
      <formula>8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Cross-sheet</t>
        </is>
      </c>
      <c r="B1" t="b">
        <v>1</v>
      </c>
    </row>
    <row r="2">
      <c r="A2">
        <f>Data!B7*2</f>
        <v/>
      </c>
      <c r="B2" t="inlineStr">
        <is>
          <t xml:space="preserve">text with spaces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2026-10-28T18:45:17Z</dcterms:created>
  <dcterms:modified xmlns:dcterms="http://purl.org/dc/terms/" xmlns:xsi="http://www.w3.org/2001/XMLSchema-instance" xsi:type="dcterms:W3CDTF">2026-10-28T18:45:17Z</dcterms:modified>
</cp:coreProperties>
</file>